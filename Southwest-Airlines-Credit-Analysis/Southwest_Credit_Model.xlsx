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2204F24B-5FA5-48E6-B73A-6A182BE00AC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 " sheetId="1" r:id="rId1"/>
    <sheet name="Ratio Analysis" sheetId="2" r:id="rId2"/>
    <sheet name="Scenario Analysis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C14" i="3"/>
  <c r="D30" i="3"/>
  <c r="E30" i="3"/>
  <c r="D29" i="3"/>
  <c r="E29" i="3"/>
  <c r="C30" i="3"/>
  <c r="C29" i="3"/>
  <c r="B29" i="3"/>
  <c r="B21" i="3"/>
  <c r="E22" i="3"/>
  <c r="D22" i="3"/>
  <c r="C22" i="3"/>
  <c r="D28" i="3"/>
  <c r="E28" i="3"/>
  <c r="C28" i="3"/>
  <c r="D20" i="3"/>
  <c r="E20" i="3"/>
  <c r="C20" i="3"/>
  <c r="D12" i="3"/>
  <c r="E12" i="3"/>
  <c r="C12" i="3"/>
  <c r="B28" i="3"/>
  <c r="D27" i="3"/>
  <c r="E27" i="3"/>
  <c r="C27" i="3"/>
  <c r="C23" i="3"/>
  <c r="D23" i="3"/>
  <c r="E23" i="3"/>
  <c r="B22" i="3"/>
  <c r="C21" i="3"/>
  <c r="C13" i="3"/>
  <c r="B13" i="3"/>
  <c r="D19" i="3"/>
  <c r="E19" i="3"/>
  <c r="C19" i="3"/>
  <c r="D13" i="3"/>
  <c r="E13" i="3"/>
  <c r="D11" i="3"/>
  <c r="E11" i="3"/>
  <c r="C11" i="3"/>
  <c r="B20" i="3"/>
  <c r="B12" i="3"/>
  <c r="B27" i="3"/>
  <c r="B19" i="3"/>
  <c r="B11" i="3"/>
  <c r="B15" i="3"/>
  <c r="B14" i="3"/>
  <c r="C11" i="2"/>
  <c r="D11" i="2"/>
  <c r="B11" i="2"/>
  <c r="C10" i="2"/>
  <c r="D10" i="2"/>
  <c r="B10" i="2"/>
  <c r="C9" i="2"/>
  <c r="D9" i="2"/>
  <c r="B9" i="2"/>
  <c r="C8" i="2"/>
  <c r="D8" i="2"/>
  <c r="B8" i="2"/>
  <c r="C5" i="2"/>
  <c r="D5" i="2"/>
  <c r="B5" i="2"/>
  <c r="E21" i="3" l="1"/>
  <c r="D21" i="3"/>
  <c r="C15" i="3"/>
  <c r="B31" i="3"/>
  <c r="B30" i="3"/>
  <c r="B23" i="3"/>
  <c r="B7" i="2"/>
  <c r="B6" i="2"/>
  <c r="D7" i="2"/>
  <c r="D6" i="2"/>
  <c r="C7" i="2"/>
  <c r="C6" i="2"/>
  <c r="D14" i="3" l="1"/>
  <c r="E14" i="3"/>
  <c r="D15" i="3"/>
  <c r="C31" i="3"/>
  <c r="E15" i="3" l="1"/>
  <c r="D31" i="3"/>
  <c r="E31" i="3" l="1"/>
</calcChain>
</file>

<file path=xl/sharedStrings.xml><?xml version="1.0" encoding="utf-8"?>
<sst xmlns="http://schemas.openxmlformats.org/spreadsheetml/2006/main" count="110" uniqueCount="69">
  <si>
    <t>SOUTHWEST AIRLINES CO. (NYSE: LUV)</t>
  </si>
  <si>
    <t>Raw Data - FY2025 10-K</t>
  </si>
  <si>
    <t>Source: SEC EDGAR, luv-20251231.htm</t>
  </si>
  <si>
    <t xml:space="preserve">INCOME STATEMENT </t>
  </si>
  <si>
    <t>2025 Amount ($M)</t>
  </si>
  <si>
    <t>2024 Amount ($M)</t>
  </si>
  <si>
    <t>2023 Amount ($M)</t>
  </si>
  <si>
    <t xml:space="preserve">Source  </t>
  </si>
  <si>
    <t>Notes</t>
  </si>
  <si>
    <t xml:space="preserve">Total operating revenues </t>
  </si>
  <si>
    <t>10-K p.85</t>
  </si>
  <si>
    <t>From Consolidated Statement of Income</t>
  </si>
  <si>
    <t>Operating income (loss)</t>
  </si>
  <si>
    <t xml:space="preserve">Interest expense </t>
  </si>
  <si>
    <t>CASHFLOW STATEMENT</t>
  </si>
  <si>
    <t xml:space="preserve">Depreciation and amortization </t>
  </si>
  <si>
    <t>10-K p.88</t>
  </si>
  <si>
    <t>From Consolidated Statement of Cash Flows</t>
  </si>
  <si>
    <t xml:space="preserve">Capital expenditure </t>
  </si>
  <si>
    <t xml:space="preserve">Net cash from operating activities </t>
  </si>
  <si>
    <t xml:space="preserve">BALANCE SHEET </t>
  </si>
  <si>
    <t xml:space="preserve">Total current assets </t>
  </si>
  <si>
    <t>10-K p.84</t>
  </si>
  <si>
    <t>From Consolidated Balance Sheet</t>
  </si>
  <si>
    <t xml:space="preserve">Total current liabilities </t>
  </si>
  <si>
    <t xml:space="preserve">Long-term debt </t>
  </si>
  <si>
    <t xml:space="preserve">Air Traffic Liability </t>
  </si>
  <si>
    <t>Total assets</t>
  </si>
  <si>
    <t>Accounts payables</t>
  </si>
  <si>
    <t xml:space="preserve">SOUTHWEST AIRLINES - RATIO ANALYSIS </t>
  </si>
  <si>
    <t>Source: Raw Data Tab, FY2025 10-K + Q1 2026 10-Q</t>
  </si>
  <si>
    <t>Ratio</t>
  </si>
  <si>
    <t xml:space="preserve">Benchmark </t>
  </si>
  <si>
    <t xml:space="preserve">Flag </t>
  </si>
  <si>
    <t>Interpretation</t>
  </si>
  <si>
    <t>EBITDA</t>
  </si>
  <si>
    <t>-</t>
  </si>
  <si>
    <t>Operating cash earnings before interest, taxes, D&amp;A</t>
  </si>
  <si>
    <t xml:space="preserve">EBITDA/ Interest </t>
  </si>
  <si>
    <t>&gt; 2.0x</t>
  </si>
  <si>
    <t>Years of EBITDA needed to repay all debt</t>
  </si>
  <si>
    <t>Debt/ EBITDA</t>
  </si>
  <si>
    <t>3.0x - 5.0x (airline avg)</t>
  </si>
  <si>
    <t>Ability to cover interest payments from operating earnings</t>
  </si>
  <si>
    <t>Current Ratio</t>
  </si>
  <si>
    <t>&gt; 1.0x</t>
  </si>
  <si>
    <t>Note: airlines carry Air Traffic Liability — may understate true liquidity</t>
  </si>
  <si>
    <t>Adjusted Current Ratio</t>
  </si>
  <si>
    <t xml:space="preserve">Days Payable Outstanding </t>
  </si>
  <si>
    <t>&lt; 45 days</t>
  </si>
  <si>
    <t>How long the company takes to pay its own bills</t>
  </si>
  <si>
    <t xml:space="preserve">Debt/ Total Assets </t>
  </si>
  <si>
    <t>&lt; 60%</t>
  </si>
  <si>
    <t>Share of assets financed by debt</t>
  </si>
  <si>
    <t xml:space="preserve">SOUTHWEST AIRLINES - SCENARIO ANALYSIS </t>
  </si>
  <si>
    <t xml:space="preserve">Base, adverse, and severely adverse stress testing </t>
  </si>
  <si>
    <t>Metric</t>
  </si>
  <si>
    <t xml:space="preserve">Revenue Growth </t>
  </si>
  <si>
    <t>EBITDA Margin</t>
  </si>
  <si>
    <t xml:space="preserve">Base </t>
  </si>
  <si>
    <t>Adverse</t>
  </si>
  <si>
    <t>Severely Adverse</t>
  </si>
  <si>
    <t>BASE CASE - PROJECTED FINANCIALS AND RATIOS</t>
  </si>
  <si>
    <t>Revenue</t>
  </si>
  <si>
    <t>Debt / EBITDA</t>
  </si>
  <si>
    <t xml:space="preserve">EBITDA / Interest </t>
  </si>
  <si>
    <t>DPO</t>
  </si>
  <si>
    <t>ADVERSE CASE - PROJECTED FINANCIALS AND RATIOS</t>
  </si>
  <si>
    <t>SEVERELY ADVERSE  CASE - PROJECTED FINANCIALS AND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</si>
</sst>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;[Red]#,##0"/>
  </numFmts>
  <fonts count="26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rgb="FF091C7A"/>
      <name val="Arial"/>
    </font>
    <font>
      <b/>
      <sz val="10"/>
      <color rgb="FFFFFFFF"/>
      <name val="Arial"/>
    </font>
    <font>
      <b/>
      <sz val="10"/>
      <color theme="0"/>
      <name val="Arial"/>
    </font>
    <font>
      <sz val="10"/>
      <color rgb="FF0000FF"/>
      <name val="Arial"/>
    </font>
    <font>
      <i/>
      <sz val="10"/>
      <color rgb="FF808080"/>
      <name val="Arial"/>
    </font>
    <font>
      <i/>
      <sz val="8"/>
      <color rgb="FF808080"/>
      <name val="Arial"/>
    </font>
    <font>
      <sz val="8"/>
      <color rgb="FF808080"/>
      <name val="Arial"/>
    </font>
    <font>
      <sz val="11"/>
      <color rgb="FF006100"/>
      <name val="Calibri"/>
      <scheme val="minor"/>
    </font>
    <font>
      <sz val="11"/>
      <color rgb="FF9C5700"/>
      <name val="Calibri"/>
      <scheme val="minor"/>
    </font>
    <font>
      <b/>
      <sz val="14"/>
      <color rgb="FF1F4E79"/>
      <name val="Arial"/>
    </font>
    <font>
      <b/>
      <sz val="10"/>
      <color rgb="FF1F4E79"/>
      <name val="Arial"/>
    </font>
    <font>
      <sz val="11"/>
      <color theme="0"/>
      <name val="Arial"/>
    </font>
    <font>
      <sz val="11"/>
      <color theme="1"/>
      <name val="Arial"/>
    </font>
    <font>
      <i/>
      <sz val="11"/>
      <color rgb="FF808080"/>
      <name val="Arial"/>
    </font>
    <font>
      <b/>
      <sz val="11"/>
      <color theme="0"/>
      <name val="Arial"/>
    </font>
    <font>
      <b/>
      <sz val="11"/>
      <color theme="1"/>
      <name val="Arial"/>
    </font>
    <font>
      <i/>
      <sz val="9"/>
      <color rgb="FF808080"/>
      <name val="Arial"/>
    </font>
    <font>
      <b/>
      <sz val="11"/>
      <color rgb="FF1F4E79"/>
      <name val="Arial"/>
    </font>
    <font>
      <sz val="10"/>
      <color rgb="FF808080"/>
      <name val="Arial"/>
    </font>
    <font>
      <sz val="10"/>
      <color rgb="FF000000"/>
      <name val="Arial"/>
    </font>
    <font>
      <sz val="11"/>
      <color rgb="FF008000"/>
      <name val="Arial"/>
    </font>
    <font>
      <sz val="11"/>
      <color rgb="FF0000FF"/>
      <name val="Arial"/>
    </font>
    <font>
      <b/>
      <sz val="11"/>
      <color rgb="FF006100"/>
      <name val="Calibri"/>
      <scheme val="minor"/>
    </font>
    <font>
      <b/>
      <sz val="11"/>
      <color rgb="FF9C57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3" fontId="5" fillId="0" borderId="0" xfId="0" applyNumberFormat="1" applyFont="1"/>
    <xf numFmtId="0" fontId="6" fillId="0" borderId="0" xfId="0" applyFont="1"/>
    <xf numFmtId="0" fontId="5" fillId="0" borderId="0" xfId="0" applyFont="1"/>
    <xf numFmtId="37" fontId="5" fillId="0" borderId="0" xfId="0" applyNumberFormat="1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6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6" fillId="2" borderId="0" xfId="0" applyFont="1" applyFill="1"/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164" fontId="14" fillId="0" borderId="0" xfId="0" applyNumberFormat="1" applyFont="1"/>
    <xf numFmtId="0" fontId="19" fillId="0" borderId="0" xfId="0" applyFont="1"/>
    <xf numFmtId="0" fontId="14" fillId="2" borderId="0" xfId="0" applyFont="1" applyFill="1"/>
    <xf numFmtId="165" fontId="14" fillId="0" borderId="0" xfId="0" applyNumberFormat="1" applyFont="1"/>
    <xf numFmtId="0" fontId="20" fillId="0" borderId="0" xfId="0" applyFont="1"/>
    <xf numFmtId="3" fontId="21" fillId="0" borderId="0" xfId="0" applyNumberFormat="1" applyFont="1"/>
    <xf numFmtId="2" fontId="21" fillId="0" borderId="0" xfId="0" applyNumberFormat="1" applyFont="1"/>
    <xf numFmtId="38" fontId="14" fillId="0" borderId="0" xfId="0" applyNumberFormat="1" applyFont="1"/>
    <xf numFmtId="165" fontId="22" fillId="0" borderId="0" xfId="0" applyNumberFormat="1" applyFont="1"/>
    <xf numFmtId="2" fontId="22" fillId="0" borderId="0" xfId="0" applyNumberFormat="1" applyFont="1"/>
    <xf numFmtId="3" fontId="22" fillId="0" borderId="0" xfId="0" applyNumberFormat="1" applyFont="1"/>
    <xf numFmtId="4" fontId="22" fillId="0" borderId="0" xfId="0" applyNumberFormat="1" applyFont="1"/>
    <xf numFmtId="9" fontId="23" fillId="0" borderId="0" xfId="0" applyNumberFormat="1" applyFont="1"/>
    <xf numFmtId="10" fontId="23" fillId="0" borderId="0" xfId="0" applyNumberFormat="1" applyFont="1"/>
    <xf numFmtId="3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0" fontId="24" fillId="3" borderId="0" xfId="1" applyFont="1" applyAlignment="1">
      <alignment horizontal="center"/>
    </xf>
    <xf numFmtId="0" fontId="25" fillId="4" borderId="0" xfId="2" applyFont="1" applyAlignment="1">
      <alignment horizontal="center"/>
    </xf>
    <xf numFmtId="0" fontId="1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5" fillId="0" borderId="0" xfId="0" applyFont="1" applyAlignment="1">
      <alignment horizontal="left"/>
    </xf>
  </cellXfs>
  <cellStyles count="3">
    <cellStyle name="Good" xfId="1" builtinId="26"/>
    <cellStyle name="Neutral" xfId="2" builtinId="2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08000"/>
      <color rgb="FF0000FF"/>
      <color rgb="FF1F4E79"/>
      <color rgb="FF808080"/>
      <color rgb="FF000000"/>
      <color rgb="FF091C7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B25" sqref="B25"/>
    </sheetView>
  </sheetViews>
  <sheetFormatPr defaultRowHeight="12.75"/>
  <cols>
    <col min="1" max="1" width="27.5703125" style="1" customWidth="1"/>
    <col min="2" max="2" width="18.140625" style="1" customWidth="1"/>
    <col min="3" max="3" width="18" style="1" customWidth="1"/>
    <col min="4" max="4" width="17.85546875" style="1" customWidth="1"/>
    <col min="5" max="5" width="13.28515625" style="1" customWidth="1"/>
    <col min="6" max="6" width="32.42578125" style="1" customWidth="1"/>
    <col min="7" max="16384" width="9.140625" style="1"/>
  </cols>
  <sheetData>
    <row r="1" spans="1:6" ht="18">
      <c r="A1" s="39" t="s">
        <v>0</v>
      </c>
      <c r="B1" s="39"/>
      <c r="C1" s="39"/>
    </row>
    <row r="2" spans="1:6">
      <c r="A2" s="38" t="s">
        <v>1</v>
      </c>
      <c r="B2" s="38"/>
      <c r="C2" s="38"/>
    </row>
    <row r="3" spans="1:6">
      <c r="A3" s="38" t="s">
        <v>2</v>
      </c>
      <c r="B3" s="38"/>
      <c r="C3" s="38"/>
    </row>
    <row r="5" spans="1:6">
      <c r="A5" s="11" t="s">
        <v>3</v>
      </c>
    </row>
    <row r="6" spans="1:6">
      <c r="A6" s="3"/>
      <c r="B6" s="3" t="s">
        <v>4</v>
      </c>
      <c r="C6" s="3" t="s">
        <v>5</v>
      </c>
      <c r="D6" s="3" t="s">
        <v>6</v>
      </c>
      <c r="E6" s="3" t="s">
        <v>7</v>
      </c>
      <c r="F6" s="4" t="s">
        <v>8</v>
      </c>
    </row>
    <row r="7" spans="1:6">
      <c r="A7" s="1" t="s">
        <v>9</v>
      </c>
      <c r="B7" s="5">
        <v>28063</v>
      </c>
      <c r="C7" s="5">
        <v>27483</v>
      </c>
      <c r="D7" s="5">
        <v>26091</v>
      </c>
      <c r="E7" s="6" t="s">
        <v>10</v>
      </c>
      <c r="F7" s="9" t="s">
        <v>11</v>
      </c>
    </row>
    <row r="8" spans="1:6">
      <c r="A8" s="1" t="s">
        <v>12</v>
      </c>
      <c r="B8" s="5">
        <v>428</v>
      </c>
      <c r="C8" s="5">
        <v>321</v>
      </c>
      <c r="D8" s="5">
        <v>224</v>
      </c>
      <c r="E8" s="6" t="s">
        <v>10</v>
      </c>
      <c r="F8" s="9" t="s">
        <v>11</v>
      </c>
    </row>
    <row r="9" spans="1:6">
      <c r="A9" s="1" t="s">
        <v>13</v>
      </c>
      <c r="B9" s="7">
        <v>167</v>
      </c>
      <c r="C9" s="7">
        <v>249</v>
      </c>
      <c r="D9" s="7">
        <v>259</v>
      </c>
      <c r="E9" s="6" t="s">
        <v>10</v>
      </c>
      <c r="F9" s="9" t="s">
        <v>11</v>
      </c>
    </row>
    <row r="11" spans="1:6">
      <c r="A11" s="11" t="s">
        <v>14</v>
      </c>
      <c r="B11" s="2"/>
    </row>
    <row r="12" spans="1:6">
      <c r="A12" s="4"/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</row>
    <row r="13" spans="1:6">
      <c r="A13" s="1" t="s">
        <v>15</v>
      </c>
      <c r="B13" s="5">
        <v>1560</v>
      </c>
      <c r="C13" s="5">
        <v>1657</v>
      </c>
      <c r="D13" s="5">
        <v>1522</v>
      </c>
      <c r="E13" s="6" t="s">
        <v>16</v>
      </c>
      <c r="F13" s="10" t="s">
        <v>17</v>
      </c>
    </row>
    <row r="14" spans="1:6">
      <c r="A14" s="1" t="s">
        <v>18</v>
      </c>
      <c r="B14" s="8">
        <v>-2673</v>
      </c>
      <c r="C14" s="8">
        <v>-2054</v>
      </c>
      <c r="D14" s="8">
        <v>-3520</v>
      </c>
      <c r="E14" s="6" t="s">
        <v>16</v>
      </c>
      <c r="F14" s="10" t="s">
        <v>17</v>
      </c>
    </row>
    <row r="15" spans="1:6">
      <c r="A15" s="1" t="s">
        <v>19</v>
      </c>
      <c r="B15" s="8">
        <v>1842</v>
      </c>
      <c r="C15" s="7">
        <v>462</v>
      </c>
      <c r="D15" s="5">
        <v>3164</v>
      </c>
      <c r="E15" s="6" t="s">
        <v>16</v>
      </c>
      <c r="F15" s="10" t="s">
        <v>17</v>
      </c>
    </row>
    <row r="17" spans="1:6">
      <c r="A17" s="11" t="s">
        <v>20</v>
      </c>
    </row>
    <row r="18" spans="1:6">
      <c r="A18" s="4"/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</row>
    <row r="19" spans="1:6">
      <c r="A19" s="1" t="s">
        <v>21</v>
      </c>
      <c r="B19" s="5">
        <v>5645</v>
      </c>
      <c r="C19" s="5">
        <v>11274</v>
      </c>
      <c r="D19" s="5">
        <v>13955</v>
      </c>
      <c r="E19" s="6" t="s">
        <v>22</v>
      </c>
      <c r="F19" s="10" t="s">
        <v>23</v>
      </c>
    </row>
    <row r="20" spans="1:6">
      <c r="A20" s="1" t="s">
        <v>24</v>
      </c>
      <c r="B20" s="5">
        <v>10921</v>
      </c>
      <c r="C20" s="5">
        <v>12276</v>
      </c>
      <c r="D20" s="5">
        <v>12256</v>
      </c>
      <c r="E20" s="6" t="s">
        <v>22</v>
      </c>
      <c r="F20" s="10" t="s">
        <v>23</v>
      </c>
    </row>
    <row r="21" spans="1:6">
      <c r="A21" s="1" t="s">
        <v>25</v>
      </c>
      <c r="B21" s="5">
        <v>4577</v>
      </c>
      <c r="C21" s="5">
        <v>5069</v>
      </c>
      <c r="D21" s="5">
        <v>7978</v>
      </c>
      <c r="E21" s="6" t="s">
        <v>22</v>
      </c>
      <c r="F21" s="10" t="s">
        <v>23</v>
      </c>
    </row>
    <row r="22" spans="1:6">
      <c r="A22" s="1" t="s">
        <v>26</v>
      </c>
      <c r="B22" s="5">
        <v>5945</v>
      </c>
      <c r="C22" s="5">
        <v>6294</v>
      </c>
      <c r="D22" s="5">
        <v>6551</v>
      </c>
      <c r="E22" s="6" t="s">
        <v>22</v>
      </c>
      <c r="F22" s="10" t="s">
        <v>23</v>
      </c>
    </row>
    <row r="23" spans="1:6">
      <c r="A23" s="1" t="s">
        <v>27</v>
      </c>
      <c r="B23" s="5">
        <v>29061</v>
      </c>
      <c r="C23" s="5">
        <v>33750</v>
      </c>
      <c r="D23" s="5">
        <v>36487</v>
      </c>
      <c r="E23" s="6" t="s">
        <v>22</v>
      </c>
      <c r="F23" s="10" t="s">
        <v>23</v>
      </c>
    </row>
    <row r="24" spans="1:6">
      <c r="A24" s="1" t="s">
        <v>28</v>
      </c>
      <c r="B24" s="5">
        <v>1991</v>
      </c>
      <c r="C24" s="5">
        <v>1818</v>
      </c>
      <c r="D24" s="5">
        <v>1862</v>
      </c>
      <c r="E24" s="6" t="s">
        <v>22</v>
      </c>
      <c r="F24" s="10" t="s">
        <v>23</v>
      </c>
    </row>
  </sheetData>
  <mergeCells count="3">
    <mergeCell ref="A2:C2"/>
    <mergeCell ref="A1:C1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6975-3F39-4BE5-AFBF-1C5BC17F77D2}">
  <dimension ref="A1:G21"/>
  <sheetViews>
    <sheetView tabSelected="1" workbookViewId="0">
      <selection activeCell="A16" sqref="A16"/>
    </sheetView>
  </sheetViews>
  <sheetFormatPr defaultRowHeight="14.25"/>
  <cols>
    <col min="1" max="1" width="26.85546875" style="15" customWidth="1"/>
    <col min="2" max="2" width="10.28515625" style="15" customWidth="1"/>
    <col min="3" max="3" width="10.140625" style="15" customWidth="1"/>
    <col min="4" max="4" width="10.42578125" style="15" customWidth="1"/>
    <col min="5" max="5" width="20.42578125" style="15" customWidth="1"/>
    <col min="6" max="6" width="10.42578125" style="15" customWidth="1"/>
    <col min="7" max="7" width="53" style="15" customWidth="1"/>
    <col min="8" max="16384" width="9.140625" style="15"/>
  </cols>
  <sheetData>
    <row r="1" spans="1:7" ht="18">
      <c r="A1" s="12" t="s">
        <v>29</v>
      </c>
      <c r="B1" s="14"/>
      <c r="C1" s="14"/>
      <c r="D1" s="14"/>
    </row>
    <row r="2" spans="1:7">
      <c r="A2" s="19" t="s">
        <v>30</v>
      </c>
      <c r="B2" s="24"/>
      <c r="C2" s="24"/>
      <c r="D2" s="1"/>
    </row>
    <row r="3" spans="1:7">
      <c r="A3" s="1"/>
      <c r="B3" s="1"/>
      <c r="C3" s="1"/>
      <c r="D3" s="1"/>
    </row>
    <row r="4" spans="1:7">
      <c r="A4" s="4" t="s">
        <v>31</v>
      </c>
      <c r="B4" s="4">
        <v>2025</v>
      </c>
      <c r="C4" s="4">
        <v>2024</v>
      </c>
      <c r="D4" s="4">
        <v>2023</v>
      </c>
      <c r="E4" s="4" t="s">
        <v>32</v>
      </c>
      <c r="F4" s="4" t="s">
        <v>33</v>
      </c>
      <c r="G4" s="4" t="s">
        <v>34</v>
      </c>
    </row>
    <row r="5" spans="1:7">
      <c r="A5" s="1" t="s">
        <v>35</v>
      </c>
      <c r="B5" s="25">
        <f>'Raw Data '!B8+'Raw Data '!B13</f>
        <v>1988</v>
      </c>
      <c r="C5" s="25">
        <f>'Raw Data '!C8+'Raw Data '!C13</f>
        <v>1978</v>
      </c>
      <c r="D5" s="25">
        <f>'Raw Data '!D8+'Raw Data '!D13</f>
        <v>1746</v>
      </c>
      <c r="E5" s="18" t="s">
        <v>36</v>
      </c>
      <c r="F5" s="13" t="s">
        <v>36</v>
      </c>
      <c r="G5" s="19" t="s">
        <v>37</v>
      </c>
    </row>
    <row r="6" spans="1:7" ht="15">
      <c r="A6" s="1" t="s">
        <v>38</v>
      </c>
      <c r="B6" s="26">
        <f>B5/'Raw Data '!B9</f>
        <v>11.904191616766466</v>
      </c>
      <c r="C6" s="26">
        <f>C5/'Raw Data '!C9</f>
        <v>7.9437751004016066</v>
      </c>
      <c r="D6" s="26">
        <f>D5/'Raw Data '!D9</f>
        <v>6.7413127413127416</v>
      </c>
      <c r="E6" s="18" t="s">
        <v>39</v>
      </c>
      <c r="F6" s="36" t="str">
        <f>IF(B6&gt;3,"Good",IF(B6&gt;=2,"Neutral","Bad"))</f>
        <v>Good</v>
      </c>
      <c r="G6" s="19" t="s">
        <v>40</v>
      </c>
    </row>
    <row r="7" spans="1:7" ht="15">
      <c r="A7" s="1" t="s">
        <v>41</v>
      </c>
      <c r="B7" s="26">
        <f>'Raw Data '!B21/'Ratio Analysis'!B5</f>
        <v>2.3023138832997989</v>
      </c>
      <c r="C7" s="26">
        <f>'Raw Data '!C21/'Ratio Analysis'!C5</f>
        <v>2.5626895854398382</v>
      </c>
      <c r="D7" s="26">
        <f>'Raw Data '!D21/'Ratio Analysis'!D5</f>
        <v>4.5693012600229093</v>
      </c>
      <c r="E7" s="18" t="s">
        <v>42</v>
      </c>
      <c r="F7" s="36" t="str">
        <f>IF(B7&lt;3,"Good",IF(B7&lt;5,"Neutral","Bad"))</f>
        <v>Good</v>
      </c>
      <c r="G7" s="19" t="s">
        <v>43</v>
      </c>
    </row>
    <row r="8" spans="1:7" ht="15">
      <c r="A8" s="1" t="s">
        <v>44</v>
      </c>
      <c r="B8" s="26">
        <f>'Raw Data '!B19/'Raw Data '!B20</f>
        <v>0.51689405732075822</v>
      </c>
      <c r="C8" s="26">
        <f>'Raw Data '!C19/'Raw Data '!C20</f>
        <v>0.91837732160312802</v>
      </c>
      <c r="D8" s="26">
        <f>'Raw Data '!D19/'Raw Data '!D20</f>
        <v>1.1386259791122715</v>
      </c>
      <c r="E8" s="18" t="s">
        <v>45</v>
      </c>
      <c r="F8" s="37" t="str">
        <f>IF(B8&gt;3,"Good",IF(B8&lt;=5,"Neutral","Bad"))</f>
        <v>Neutral</v>
      </c>
      <c r="G8" s="19" t="s">
        <v>46</v>
      </c>
    </row>
    <row r="9" spans="1:7" ht="15">
      <c r="A9" s="1" t="s">
        <v>47</v>
      </c>
      <c r="B9" s="26">
        <f>'Raw Data '!B19/('Raw Data '!B20-'Raw Data '!B22)</f>
        <v>1.1344453376205788</v>
      </c>
      <c r="C9" s="26">
        <f>'Raw Data '!C19/('Raw Data '!C20-'Raw Data '!C22)</f>
        <v>1.884653961885657</v>
      </c>
      <c r="D9" s="26">
        <f>'Raw Data '!D19/('Raw Data '!D20-'Raw Data '!D22)</f>
        <v>2.4460999123575813</v>
      </c>
      <c r="E9" s="18" t="s">
        <v>45</v>
      </c>
      <c r="F9" s="36" t="str">
        <f>IF(B9&gt;1,"Good",IF(B9&lt;=1,"Neutral","Bad"))</f>
        <v>Good</v>
      </c>
      <c r="G9" s="19"/>
    </row>
    <row r="10" spans="1:7" ht="15">
      <c r="A10" s="1" t="s">
        <v>48</v>
      </c>
      <c r="B10" s="26">
        <f>('Raw Data '!B24/'Raw Data '!B7)*365</f>
        <v>25.895841499483307</v>
      </c>
      <c r="C10" s="26">
        <f>('Raw Data '!C24/'Raw Data '!C7)*365</f>
        <v>24.144744023578212</v>
      </c>
      <c r="D10" s="26">
        <f>('Raw Data '!D24/'Raw Data '!D7)*365</f>
        <v>26.048445824230576</v>
      </c>
      <c r="E10" s="18" t="s">
        <v>49</v>
      </c>
      <c r="F10" s="36" t="str">
        <f>IF(B10&lt;45,"Good",IF(B10&gt;45,"Neutral","Bad"))</f>
        <v>Good</v>
      </c>
      <c r="G10" s="19" t="s">
        <v>50</v>
      </c>
    </row>
    <row r="11" spans="1:7" ht="15">
      <c r="A11" s="1" t="s">
        <v>51</v>
      </c>
      <c r="B11" s="26">
        <f>'Raw Data '!B21/'Raw Data '!B23</f>
        <v>0.15749630088434671</v>
      </c>
      <c r="C11" s="26">
        <f>'Raw Data '!C21/'Raw Data '!C23</f>
        <v>0.1501925925925926</v>
      </c>
      <c r="D11" s="26">
        <f>'Raw Data '!D21/'Raw Data '!D23</f>
        <v>0.21865321895469619</v>
      </c>
      <c r="E11" s="18" t="s">
        <v>52</v>
      </c>
      <c r="F11" s="36" t="str">
        <f>IF(B11&lt;0.6,"Good",IF(B11&gt;=0.6,"Neutral","Bad"))</f>
        <v>Good</v>
      </c>
      <c r="G11" s="19" t="s">
        <v>53</v>
      </c>
    </row>
    <row r="21" spans="1:1">
      <c r="A21" s="20"/>
    </row>
  </sheetData>
  <conditionalFormatting sqref="F5:F11">
    <cfRule type="containsText" dxfId="2" priority="5" operator="containsText" text="Green">
      <formula>NOT(ISERROR(SEARCH("Green",F5)))</formula>
    </cfRule>
  </conditionalFormatting>
  <conditionalFormatting sqref="F6:F11">
    <cfRule type="containsText" dxfId="1" priority="4" operator="containsText" text="Red">
      <formula>NOT(ISERROR(SEARCH("Red",F6)))</formula>
    </cfRule>
  </conditionalFormatting>
  <conditionalFormatting sqref="F6:F11">
    <cfRule type="containsText" dxfId="0" priority="1" operator="containsText" text="Watch">
      <formula>NOT(ISERROR(SEARCH("Watch",F6)))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B22E-E732-4503-8A68-DD54BEA168D1}">
  <dimension ref="A1:I31"/>
  <sheetViews>
    <sheetView workbookViewId="0">
      <selection activeCell="C37" sqref="C37"/>
    </sheetView>
  </sheetViews>
  <sheetFormatPr defaultRowHeight="14.25"/>
  <cols>
    <col min="1" max="1" width="30" style="15" customWidth="1"/>
    <col min="2" max="2" width="19.140625" style="15" customWidth="1"/>
    <col min="3" max="3" width="21.7109375" style="15" customWidth="1"/>
    <col min="4" max="4" width="13.7109375" style="15" customWidth="1"/>
    <col min="5" max="5" width="12" style="15" customWidth="1"/>
    <col min="6" max="16384" width="9.140625" style="15"/>
  </cols>
  <sheetData>
    <row r="1" spans="1:9" ht="25.5" customHeight="1">
      <c r="A1" s="39" t="s">
        <v>54</v>
      </c>
      <c r="B1" s="39"/>
      <c r="C1" s="39"/>
      <c r="D1" s="39"/>
    </row>
    <row r="2" spans="1:9">
      <c r="A2" s="40" t="s">
        <v>55</v>
      </c>
      <c r="B2" s="40"/>
      <c r="C2" s="40"/>
      <c r="D2" s="40"/>
    </row>
    <row r="4" spans="1:9" ht="15">
      <c r="A4" s="16" t="s">
        <v>56</v>
      </c>
      <c r="B4" s="16" t="s">
        <v>57</v>
      </c>
      <c r="C4" s="16" t="s">
        <v>58</v>
      </c>
    </row>
    <row r="5" spans="1:9" ht="15">
      <c r="A5" s="17" t="s">
        <v>59</v>
      </c>
      <c r="B5" s="32">
        <v>0.02</v>
      </c>
      <c r="C5" s="33">
        <v>7.0900000000000005E-2</v>
      </c>
    </row>
    <row r="6" spans="1:9" ht="15">
      <c r="A6" s="17" t="s">
        <v>60</v>
      </c>
      <c r="B6" s="32">
        <v>-0.15</v>
      </c>
      <c r="C6" s="33">
        <v>3.09E-2</v>
      </c>
    </row>
    <row r="7" spans="1:9" ht="15">
      <c r="A7" s="17" t="s">
        <v>61</v>
      </c>
      <c r="B7" s="32">
        <v>-0.3</v>
      </c>
      <c r="C7" s="33">
        <v>-9.1000000000000004E-3</v>
      </c>
    </row>
    <row r="9" spans="1:9" ht="15">
      <c r="A9" s="21" t="s">
        <v>62</v>
      </c>
      <c r="B9" s="21"/>
    </row>
    <row r="10" spans="1:9" ht="15">
      <c r="A10" s="22"/>
      <c r="B10" s="16">
        <v>2025</v>
      </c>
      <c r="C10" s="16">
        <v>2026</v>
      </c>
      <c r="D10" s="16">
        <v>2027</v>
      </c>
      <c r="E10" s="16">
        <v>2028</v>
      </c>
      <c r="I10" s="15">
        <v>2030</v>
      </c>
    </row>
    <row r="11" spans="1:9">
      <c r="A11" s="15" t="s">
        <v>63</v>
      </c>
      <c r="B11" s="28">
        <f>'Raw Data '!B7</f>
        <v>28063</v>
      </c>
      <c r="C11" s="23">
        <f>B11*(1+$B$5)</f>
        <v>28624.260000000002</v>
      </c>
      <c r="D11" s="23">
        <f t="shared" ref="D11:E11" si="0">C11*(1+$B$5)</f>
        <v>29196.745200000001</v>
      </c>
      <c r="E11" s="23">
        <f t="shared" si="0"/>
        <v>29780.680104000003</v>
      </c>
    </row>
    <row r="12" spans="1:9">
      <c r="A12" s="15" t="s">
        <v>35</v>
      </c>
      <c r="B12" s="28">
        <f>'Ratio Analysis'!B5</f>
        <v>1988</v>
      </c>
      <c r="C12" s="23">
        <f>C11*$C$5</f>
        <v>2029.4600340000002</v>
      </c>
      <c r="D12" s="23">
        <f t="shared" ref="D12:E12" si="1">D11*$C$5</f>
        <v>2070.0492346800002</v>
      </c>
      <c r="E12" s="23">
        <f t="shared" si="1"/>
        <v>2111.4502193736002</v>
      </c>
    </row>
    <row r="13" spans="1:9">
      <c r="A13" s="15" t="s">
        <v>64</v>
      </c>
      <c r="B13" s="29">
        <f>'Raw Data '!$B$21/'Scenario Analysis '!B12</f>
        <v>2.3023138832997989</v>
      </c>
      <c r="C13" s="29">
        <f>'Raw Data '!$B$21/'Scenario Analysis '!C12</f>
        <v>2.2552796918000304</v>
      </c>
      <c r="D13" s="29">
        <f>'Raw Data '!$B$21/'Scenario Analysis '!D12</f>
        <v>2.2110585213725789</v>
      </c>
      <c r="E13" s="29">
        <f>'Raw Data '!$B$21/'Scenario Analysis '!E12</f>
        <v>2.1677044327182147</v>
      </c>
    </row>
    <row r="14" spans="1:9">
      <c r="A14" s="15" t="s">
        <v>65</v>
      </c>
      <c r="B14" s="29">
        <f>B12/'Raw Data '!$B$9</f>
        <v>11.904191616766466</v>
      </c>
      <c r="C14" s="29">
        <f>C12/'Raw Data '!$B$9</f>
        <v>12.152455293413174</v>
      </c>
      <c r="D14" s="29">
        <f>D12/'Raw Data '!$B$9</f>
        <v>12.395504399281439</v>
      </c>
      <c r="E14" s="29">
        <f>E12/'Raw Data '!$B$9</f>
        <v>12.643414487267068</v>
      </c>
    </row>
    <row r="15" spans="1:9">
      <c r="A15" s="15" t="s">
        <v>66</v>
      </c>
      <c r="B15" s="29">
        <f>('Raw Data '!$B$24/'Scenario Analysis '!B11)*365</f>
        <v>25.895841499483307</v>
      </c>
      <c r="C15" s="29">
        <f>('Raw Data '!$B$24/'Scenario Analysis '!C11)*365</f>
        <v>25.388079901454219</v>
      </c>
      <c r="D15" s="29">
        <f>('Raw Data '!$B$24/'Scenario Analysis '!D11)*365</f>
        <v>24.890274413190411</v>
      </c>
      <c r="E15" s="29">
        <f>('Raw Data '!$B$24/'Scenario Analysis '!E11)*365</f>
        <v>24.402229816853342</v>
      </c>
    </row>
    <row r="17" spans="1:5" ht="15">
      <c r="A17" s="21" t="s">
        <v>67</v>
      </c>
      <c r="B17" s="21"/>
    </row>
    <row r="18" spans="1:5" ht="15">
      <c r="A18" s="22"/>
      <c r="B18" s="16">
        <v>2025</v>
      </c>
      <c r="C18" s="16">
        <v>2026</v>
      </c>
      <c r="D18" s="16">
        <v>2027</v>
      </c>
      <c r="E18" s="16">
        <v>2028</v>
      </c>
    </row>
    <row r="19" spans="1:5">
      <c r="A19" s="15" t="s">
        <v>63</v>
      </c>
      <c r="B19" s="28">
        <f>'Raw Data '!B7</f>
        <v>28063</v>
      </c>
      <c r="C19" s="23">
        <f>B19*(1+$B$6)</f>
        <v>23853.55</v>
      </c>
      <c r="D19" s="23">
        <f t="shared" ref="D19:E19" si="2">C19*(1+$B$6)</f>
        <v>20275.517499999998</v>
      </c>
      <c r="E19" s="23">
        <f t="shared" si="2"/>
        <v>17234.189874999996</v>
      </c>
    </row>
    <row r="20" spans="1:5">
      <c r="A20" s="15" t="s">
        <v>35</v>
      </c>
      <c r="B20" s="28">
        <f>'Ratio Analysis'!B5</f>
        <v>1988</v>
      </c>
      <c r="C20" s="23">
        <f>C19*$C$6</f>
        <v>737.07469500000002</v>
      </c>
      <c r="D20" s="23">
        <f t="shared" ref="D20:E20" si="3">D19*$C$6</f>
        <v>626.51349074999996</v>
      </c>
      <c r="E20" s="23">
        <f t="shared" si="3"/>
        <v>532.53646713749993</v>
      </c>
    </row>
    <row r="21" spans="1:5">
      <c r="A21" s="15" t="s">
        <v>64</v>
      </c>
      <c r="B21" s="29">
        <f>'Raw Data '!$B$21/'Scenario Analysis '!B20</f>
        <v>2.3023138832997989</v>
      </c>
      <c r="C21" s="29">
        <f>'Raw Data '!$B$21/'Scenario Analysis '!C20</f>
        <v>6.2096827242183368</v>
      </c>
      <c r="D21" s="29">
        <f>'Raw Data '!$B$21/'Scenario Analysis '!D20</f>
        <v>7.3055090873156914</v>
      </c>
      <c r="E21" s="29">
        <f>'Raw Data '!$B$21/'Scenario Analysis '!E20</f>
        <v>8.5947165733125779</v>
      </c>
    </row>
    <row r="22" spans="1:5">
      <c r="A22" s="15" t="s">
        <v>65</v>
      </c>
      <c r="B22" s="29">
        <f>B20/'Raw Data '!$B$9</f>
        <v>11.904191616766466</v>
      </c>
      <c r="C22" s="29">
        <f>C20/'Raw Data '!$B$9</f>
        <v>4.4136209281437129</v>
      </c>
      <c r="D22" s="29">
        <f>D20/'Raw Data '!$B$9</f>
        <v>3.7515777889221553</v>
      </c>
      <c r="E22" s="29">
        <f>E20/'Raw Data '!$B$9</f>
        <v>3.1888411205838318</v>
      </c>
    </row>
    <row r="23" spans="1:5">
      <c r="A23" s="15" t="s">
        <v>66</v>
      </c>
      <c r="B23" s="29">
        <f>('Raw Data '!$B$24/'Scenario Analysis '!B19)*365</f>
        <v>25.895841499483307</v>
      </c>
      <c r="C23" s="29">
        <f>('Raw Data '!$B$24/'Scenario Analysis '!C19)*365</f>
        <v>30.465695881745063</v>
      </c>
      <c r="D23" s="29">
        <f>('Raw Data '!$B$24/'Scenario Analysis '!D19)*365</f>
        <v>35.841995154994194</v>
      </c>
      <c r="E23" s="29">
        <f>('Raw Data '!$B$24/'Scenario Analysis '!E19)*365</f>
        <v>42.167053123522592</v>
      </c>
    </row>
    <row r="25" spans="1:5" ht="15">
      <c r="A25" s="21" t="s">
        <v>68</v>
      </c>
      <c r="B25" s="21"/>
    </row>
    <row r="26" spans="1:5" ht="15">
      <c r="A26" s="22"/>
      <c r="B26" s="16">
        <v>2025</v>
      </c>
      <c r="C26" s="16">
        <v>2026</v>
      </c>
      <c r="D26" s="16">
        <v>2027</v>
      </c>
      <c r="E26" s="16">
        <v>2028</v>
      </c>
    </row>
    <row r="27" spans="1:5">
      <c r="A27" s="15" t="s">
        <v>63</v>
      </c>
      <c r="B27" s="28">
        <f>'Raw Data '!B7</f>
        <v>28063</v>
      </c>
      <c r="C27" s="23">
        <f>B27*(1+$B$7)</f>
        <v>19644.099999999999</v>
      </c>
      <c r="D27" s="23">
        <f t="shared" ref="D27:E27" si="4">C27*(1+$B$7)</f>
        <v>13750.869999999999</v>
      </c>
      <c r="E27" s="23">
        <f t="shared" si="4"/>
        <v>9625.6089999999986</v>
      </c>
    </row>
    <row r="28" spans="1:5">
      <c r="A28" s="15" t="s">
        <v>35</v>
      </c>
      <c r="B28" s="30">
        <f>'Ratio Analysis'!B5</f>
        <v>1988</v>
      </c>
      <c r="C28" s="27">
        <f>C27*$C$7</f>
        <v>-178.76131000000001</v>
      </c>
      <c r="D28" s="27">
        <f t="shared" ref="D28:E28" si="5">D27*$C$7</f>
        <v>-125.13291699999999</v>
      </c>
      <c r="E28" s="27">
        <f t="shared" si="5"/>
        <v>-87.593041899999989</v>
      </c>
    </row>
    <row r="29" spans="1:5">
      <c r="A29" s="15" t="s">
        <v>64</v>
      </c>
      <c r="B29" s="31">
        <f>'Raw Data '!$B$21/'Scenario Analysis '!B20</f>
        <v>2.3023138832997989</v>
      </c>
      <c r="C29" s="34" t="str">
        <f>IF(C28&lt;0,"N/M",'Raw Data '!$B$21/'Scenario Analysis '!C28)</f>
        <v>N/M</v>
      </c>
      <c r="D29" s="34" t="str">
        <f>IF(D28&lt;0,"N/M",'Raw Data '!$B$21/'Scenario Analysis '!D28)</f>
        <v>N/M</v>
      </c>
      <c r="E29" s="34" t="str">
        <f>IF(E28&lt;0,"N/M",'Raw Data '!$B$21/'Scenario Analysis '!E28)</f>
        <v>N/M</v>
      </c>
    </row>
    <row r="30" spans="1:5">
      <c r="A30" s="15" t="s">
        <v>65</v>
      </c>
      <c r="B30" s="29">
        <f>B28/'Raw Data '!$B$9</f>
        <v>11.904191616766466</v>
      </c>
      <c r="C30" s="35" t="str">
        <f>IF(C28&lt;0,"N/M",C28/'Raw Data '!$B$9)</f>
        <v>N/M</v>
      </c>
      <c r="D30" s="35" t="str">
        <f>IF(D28&lt;0,"N/M",D28/'Raw Data '!$B$9)</f>
        <v>N/M</v>
      </c>
      <c r="E30" s="35" t="str">
        <f>IF(E28&lt;0,"N/M",E28/'Raw Data '!$B$9)</f>
        <v>N/M</v>
      </c>
    </row>
    <row r="31" spans="1:5">
      <c r="A31" s="15" t="s">
        <v>66</v>
      </c>
      <c r="B31" s="29">
        <f>('Raw Data '!$B$24/'Scenario Analysis '!B27)*365</f>
        <v>25.895841499483307</v>
      </c>
      <c r="C31" s="29">
        <f>('Raw Data '!$B$24/'Scenario Analysis '!C27)*365</f>
        <v>36.994059284976153</v>
      </c>
      <c r="D31" s="29">
        <f>('Raw Data '!$B$24/'Scenario Analysis '!D27)*365</f>
        <v>52.848656121394505</v>
      </c>
      <c r="E31" s="29">
        <f>('Raw Data '!$B$24/'Scenario Analysis '!E27)*365</f>
        <v>75.498080173420732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2026-06-18T15:51:46Z</dcterms:created>
  <dcterms:modified xsi:type="dcterms:W3CDTF">2026-06-19T03:03:41Z</dcterms:modified>
  <cp:category/>
  <cp:contentStatus/>
</cp:coreProperties>
</file>